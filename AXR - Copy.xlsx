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 Project\"/>
    </mc:Choice>
  </mc:AlternateContent>
  <xr:revisionPtr revIDLastSave="0" documentId="13_ncr:1_{85FF5FC4-3AFC-4CF2-A42C-26875DF58BA1}" xr6:coauthVersionLast="47" xr6:coauthVersionMax="47" xr10:uidLastSave="{00000000-0000-0000-0000-000000000000}"/>
  <bookViews>
    <workbookView xWindow="-110" yWindow="-110" windowWidth="19420" windowHeight="11500" xr2:uid="{AF906F6F-0C73-4086-B483-0B6874EB8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" l="1"/>
  <c r="Q33" i="1"/>
  <c r="P33" i="1"/>
  <c r="S32" i="1"/>
  <c r="R32" i="1"/>
  <c r="S31" i="1"/>
  <c r="R31" i="1"/>
  <c r="S30" i="1"/>
  <c r="R30" i="1"/>
  <c r="Q29" i="1"/>
  <c r="P29" i="1"/>
  <c r="S28" i="1"/>
  <c r="R28" i="1"/>
  <c r="S27" i="1"/>
  <c r="R27" i="1"/>
  <c r="S26" i="1"/>
  <c r="R26" i="1"/>
  <c r="Q25" i="1"/>
  <c r="P25" i="1"/>
  <c r="S24" i="1"/>
  <c r="R24" i="1"/>
  <c r="S23" i="1"/>
  <c r="R23" i="1"/>
  <c r="S22" i="1"/>
  <c r="R22" i="1"/>
  <c r="Q21" i="1"/>
  <c r="P21" i="1"/>
  <c r="S20" i="1"/>
  <c r="R20" i="1"/>
  <c r="S19" i="1"/>
  <c r="R19" i="1"/>
  <c r="S18" i="1"/>
  <c r="R18" i="1"/>
  <c r="Q17" i="1"/>
  <c r="P17" i="1"/>
  <c r="S16" i="1"/>
  <c r="R16" i="1"/>
  <c r="S15" i="1"/>
  <c r="R15" i="1"/>
  <c r="S14" i="1"/>
  <c r="R14" i="1"/>
  <c r="Q13" i="1"/>
  <c r="P13" i="1"/>
  <c r="S12" i="1"/>
  <c r="R12" i="1"/>
  <c r="S11" i="1"/>
  <c r="R11" i="1"/>
  <c r="S10" i="1"/>
  <c r="R10" i="1"/>
  <c r="Q9" i="1"/>
  <c r="P9" i="1"/>
  <c r="S8" i="1"/>
  <c r="R8" i="1"/>
  <c r="S7" i="1"/>
  <c r="R7" i="1"/>
  <c r="S6" i="1"/>
  <c r="R6" i="1"/>
  <c r="Q5" i="1"/>
  <c r="P5" i="1"/>
  <c r="P34" i="1" s="1"/>
  <c r="S4" i="1"/>
  <c r="R4" i="1"/>
  <c r="S3" i="1"/>
  <c r="R3" i="1"/>
  <c r="S2" i="1"/>
  <c r="R2" i="1"/>
  <c r="S17" i="1" l="1"/>
  <c r="S5" i="1"/>
  <c r="S21" i="1"/>
  <c r="S29" i="1"/>
  <c r="S13" i="1"/>
  <c r="S25" i="1"/>
  <c r="S9" i="1"/>
  <c r="R21" i="1"/>
  <c r="S33" i="1"/>
  <c r="R17" i="1"/>
  <c r="R5" i="1"/>
  <c r="R29" i="1"/>
  <c r="R25" i="1"/>
  <c r="R33" i="1"/>
  <c r="R9" i="1"/>
  <c r="R13" i="1"/>
</calcChain>
</file>

<file path=xl/sharedStrings.xml><?xml version="1.0" encoding="utf-8"?>
<sst xmlns="http://schemas.openxmlformats.org/spreadsheetml/2006/main" count="511" uniqueCount="55">
  <si>
    <t>HEDIS Domain</t>
  </si>
  <si>
    <t>Measure ID</t>
  </si>
  <si>
    <t>HEDIS MARKET</t>
  </si>
  <si>
    <t>BUSINESS LN CD</t>
  </si>
  <si>
    <t>HEDIS CTG CD</t>
  </si>
  <si>
    <t>PROD CTG DESC</t>
  </si>
  <si>
    <t>MARKET ORIGIN</t>
  </si>
  <si>
    <t>MARKET SHORT</t>
  </si>
  <si>
    <t>Territory</t>
  </si>
  <si>
    <t>AGE GROUP</t>
  </si>
  <si>
    <t>GENDER</t>
  </si>
  <si>
    <t>SUBMEASURE ID</t>
  </si>
  <si>
    <t>Submeasure Description</t>
  </si>
  <si>
    <t>DATA ELEMENTS</t>
  </si>
  <si>
    <t>Type</t>
  </si>
  <si>
    <t>Compare Data</t>
  </si>
  <si>
    <t>Current Data</t>
  </si>
  <si>
    <t>% Change</t>
  </si>
  <si>
    <t>Difference</t>
  </si>
  <si>
    <t>Compare Benchmark</t>
  </si>
  <si>
    <t>Current Benchmark</t>
  </si>
  <si>
    <t>Current entity id</t>
  </si>
  <si>
    <t>Compare entity id</t>
  </si>
  <si>
    <t>Current Run Type ID</t>
  </si>
  <si>
    <t>Compare Request Instance ID</t>
  </si>
  <si>
    <t>Current Request Instance ID</t>
  </si>
  <si>
    <t>MDD ID</t>
  </si>
  <si>
    <t>DATA ELEMENT ID</t>
  </si>
  <si>
    <t>MEASURE ID KEY</t>
  </si>
  <si>
    <t>DATA SOURCE</t>
  </si>
  <si>
    <t>Submeasure Order</t>
  </si>
  <si>
    <t>CAN</t>
  </si>
  <si>
    <t>AXR</t>
  </si>
  <si>
    <t>HEDIS</t>
  </si>
  <si>
    <t>CP</t>
  </si>
  <si>
    <t>HMO</t>
  </si>
  <si>
    <t>Region A</t>
  </si>
  <si>
    <t>Metro</t>
  </si>
  <si>
    <t>North</t>
  </si>
  <si>
    <t>3m-17</t>
  </si>
  <si>
    <t>TOTAL</t>
  </si>
  <si>
    <t>AntibioticUtilizationRespiratoryConditions</t>
  </si>
  <si>
    <t>EligiblePopulation</t>
  </si>
  <si>
    <t xml:space="preserve">user </t>
  </si>
  <si>
    <t>Cervical Cancer Screening</t>
  </si>
  <si>
    <t>Registry</t>
  </si>
  <si>
    <t>Exclusions</t>
  </si>
  <si>
    <t>Numerator</t>
  </si>
  <si>
    <t>Rate</t>
  </si>
  <si>
    <t>calculated</t>
  </si>
  <si>
    <t>18-64</t>
  </si>
  <si>
    <t>65+</t>
  </si>
  <si>
    <t>ME</t>
  </si>
  <si>
    <t>Region B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</si>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</sst>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10" fontId="3" fillId="0" borderId="1" xfId="0" applyNumberFormat="1" applyFont="1" applyBorder="1" applyAlignment="1">
      <alignment horizontal="left" vertical="center" wrapText="1" indent="1" readingOrder="1"/>
    </xf>
    <xf numFmtId="10" fontId="3" fillId="0" borderId="1" xfId="1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10" fontId="3" fillId="0" borderId="2" xfId="0" applyNumberFormat="1" applyFont="1" applyBorder="1" applyAlignment="1">
      <alignment horizontal="left" vertical="center" wrapText="1" indent="1" readingOrder="1"/>
    </xf>
  </cellXfs>
  <cellStyles count="2">
    <cellStyle name="Normal" xfId="0" builtinId="0"/>
    <cellStyle name="Percent" xfId="1" builtinId="5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6B5AF-15F5-438A-AE86-F50851198676}" name="Table1" displayName="Table1" ref="A1:AE34" totalsRowCount="1" dataDxfId="61">
  <autoFilter ref="A1:AE33" xr:uid="{D486B5AF-15F5-438A-AE86-F50851198676}"/>
  <tableColumns count="31">
    <tableColumn id="1" xr3:uid="{1211428E-6A9C-4759-8D3A-0DB7C94143D8}" name="HEDIS Domain" dataDxfId="60" totalsRowDxfId="59"/>
    <tableColumn id="2" xr3:uid="{F228FBE7-38A2-4FD1-96FF-B5D57D7461E9}" name="Measure ID" dataDxfId="58" totalsRowDxfId="57"/>
    <tableColumn id="3" xr3:uid="{4B1F071B-C698-4C3E-BE46-F00767299B75}" name="HEDIS MARKET" dataDxfId="56" totalsRowDxfId="55"/>
    <tableColumn id="4" xr3:uid="{B28DF248-A9B7-4FE6-976A-F9FFCD7DC105}" name="BUSINESS LN CD" dataDxfId="54" totalsRowDxfId="53"/>
    <tableColumn id="5" xr3:uid="{2F24F27A-9C66-40C4-9EEE-563F59925346}" name="HEDIS CTG CD" dataDxfId="52" totalsRowDxfId="51"/>
    <tableColumn id="6" xr3:uid="{898FE044-5184-42A1-9A62-E4C2C348EC66}" name="PROD CTG DESC" dataDxfId="50" totalsRowDxfId="49"/>
    <tableColumn id="7" xr3:uid="{61CEAEB2-36C6-40BF-BC05-3C1C699B5F57}" name="MARKET ORIGIN" dataDxfId="48" totalsRowDxfId="47"/>
    <tableColumn id="8" xr3:uid="{0BD13B41-A683-4E6F-A651-35D9EE1BFE6A}" name="MARKET SHORT" dataDxfId="46" totalsRowDxfId="45"/>
    <tableColumn id="9" xr3:uid="{EEF1DDF4-8FA7-43A1-A0BB-F5FC993692D6}" name="Territory" dataDxfId="44" totalsRowDxfId="43"/>
    <tableColumn id="10" xr3:uid="{0B85D5CD-F32E-421E-8266-FD413222B154}" name="AGE GROUP" dataDxfId="42" totalsRowDxfId="41"/>
    <tableColumn id="11" xr3:uid="{D01327CA-2198-4A03-BAF0-3BDBDE54DDBC}" name="GENDER" dataDxfId="40" totalsRowDxfId="39"/>
    <tableColumn id="12" xr3:uid="{6E4AA250-3A33-4F65-A92A-0695A1D71D3E}" name="SUBMEASURE ID" dataDxfId="38" totalsRowDxfId="37"/>
    <tableColumn id="13" xr3:uid="{C373F93A-2E22-40F2-9EEA-ED0B7BE12EAE}" name="Submeasure Description" dataDxfId="36" totalsRowDxfId="35"/>
    <tableColumn id="14" xr3:uid="{E4E9D40E-C724-4D75-AB59-F9B203796019}" name="DATA ELEMENTS" dataDxfId="34" totalsRowDxfId="33"/>
    <tableColumn id="15" xr3:uid="{502E075D-4977-4DD3-8A71-2A63F37D1046}" name="Type" dataDxfId="32" totalsRowDxfId="31"/>
    <tableColumn id="16" xr3:uid="{BB708DA6-C1D5-4DA8-BB00-7A5E61516C34}" name="Compare Data" totalsRowFunction="custom" dataDxfId="30" totalsRowDxfId="29">
      <totalsRowFormula>SUBTOTAL(101,P2:P33)</totalsRowFormula>
    </tableColumn>
    <tableColumn id="17" xr3:uid="{52361C45-D7CE-4B39-851A-673F774F1619}" name="Current Data" totalsRowFunction="average" dataDxfId="28" totalsRowDxfId="27"/>
    <tableColumn id="18" xr3:uid="{1DC0C85D-7AF7-44B7-AEE4-9550BFD9E142}" name="% Change" dataDxfId="26" totalsRowDxfId="25">
      <calculatedColumnFormula>(Q2-P2)/P2</calculatedColumnFormula>
    </tableColumn>
    <tableColumn id="19" xr3:uid="{06E2EF27-9380-43E7-A41E-83DF81611EED}" name="Difference" dataDxfId="24" totalsRowDxfId="23">
      <calculatedColumnFormula>Q2-P2</calculatedColumnFormula>
    </tableColumn>
    <tableColumn id="20" xr3:uid="{666C00AE-AD4E-494F-94FB-D1FB4A494CC0}" name="Compare Benchmark" dataDxfId="22" totalsRowDxfId="21"/>
    <tableColumn id="21" xr3:uid="{7075F268-3127-480A-A720-FEEFAA179BA4}" name="Current Benchmark" dataDxfId="20" totalsRowDxfId="19"/>
    <tableColumn id="22" xr3:uid="{2ADF0BEC-75EC-4E43-819E-D6568A46C2C1}" name="Current entity id" dataDxfId="18" totalsRowDxfId="17"/>
    <tableColumn id="23" xr3:uid="{C7A014C0-FF49-4632-81A4-051099F0A96B}" name="Compare entity id" dataDxfId="16" totalsRowDxfId="15"/>
    <tableColumn id="24" xr3:uid="{688AF677-CCAE-4DDF-B3D5-15DA9807F483}" name="Current Run Type ID" dataDxfId="14" totalsRowDxfId="13"/>
    <tableColumn id="25" xr3:uid="{5802A65C-153E-4231-A67A-116EDB4A7715}" name="Compare Request Instance ID" dataDxfId="12" totalsRowDxfId="11"/>
    <tableColumn id="26" xr3:uid="{4C04B519-3405-472F-A675-E647D5D456A3}" name="Current Request Instance ID" totalsRowDxfId="10"/>
    <tableColumn id="27" xr3:uid="{6BC57A5D-FFBD-4AA3-9438-5FB58A1B9CCB}" name="MDD ID" dataDxfId="9" totalsRowDxfId="8"/>
    <tableColumn id="28" xr3:uid="{94AFD80C-DF43-4496-9642-0D5ECE591907}" name="DATA ELEMENT ID" dataDxfId="7" totalsRowDxfId="6"/>
    <tableColumn id="29" xr3:uid="{4053E7E0-A16A-4E90-8161-F773E9A06AB6}" name="MEASURE ID KEY" dataDxfId="5" totalsRowDxfId="4"/>
    <tableColumn id="30" xr3:uid="{B01E4986-71D0-41ED-8105-5EDB6AC177DB}" name="DATA SOURCE" dataDxfId="3" totalsRowDxfId="2"/>
    <tableColumn id="31" xr3:uid="{B70E250C-E191-481B-9EA6-5563BF50EC32}" name="Submeasure Order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8FB4-5882-4E87-8CBD-6DC4CFFD3585}">
  <dimension ref="A1:AE34"/>
  <sheetViews>
    <sheetView tabSelected="1" workbookViewId="0">
      <pane ySplit="1" topLeftCell="A2" activePane="bottomLeft" state="frozen"/>
      <selection pane="bottomLeft" activeCell="F35" sqref="F35"/>
    </sheetView>
  </sheetViews>
  <sheetFormatPr defaultRowHeight="14.5" x14ac:dyDescent="0.35"/>
  <cols>
    <col min="1" max="1" width="14.90625" customWidth="1"/>
    <col min="2" max="2" width="12.453125" customWidth="1"/>
    <col min="3" max="3" width="15.54296875" customWidth="1"/>
    <col min="4" max="4" width="16.6328125" customWidth="1"/>
    <col min="5" max="5" width="14.453125" customWidth="1"/>
    <col min="6" max="6" width="16.1796875" customWidth="1"/>
    <col min="7" max="7" width="16.6328125" customWidth="1"/>
    <col min="8" max="8" width="16.1796875" customWidth="1"/>
    <col min="9" max="9" width="10.08984375" customWidth="1"/>
    <col min="10" max="10" width="12.90625" customWidth="1"/>
    <col min="11" max="11" width="9.81640625" customWidth="1"/>
    <col min="12" max="12" width="17" customWidth="1"/>
    <col min="13" max="13" width="23.1796875" customWidth="1"/>
    <col min="14" max="14" width="17" customWidth="1"/>
    <col min="15" max="15" width="8.54296875" bestFit="1" customWidth="1"/>
    <col min="16" max="16" width="14.90625" customWidth="1"/>
    <col min="17" max="17" width="13.54296875" customWidth="1"/>
    <col min="18" max="18" width="11.08984375" customWidth="1"/>
    <col min="19" max="19" width="11.54296875" customWidth="1"/>
    <col min="20" max="20" width="20.54296875" customWidth="1"/>
    <col min="21" max="21" width="19.1796875" customWidth="1"/>
    <col min="22" max="22" width="16.54296875" customWidth="1"/>
    <col min="23" max="23" width="17.90625" customWidth="1"/>
    <col min="24" max="24" width="19.81640625" customWidth="1"/>
    <col min="25" max="25" width="27.54296875" customWidth="1"/>
    <col min="26" max="26" width="26.1796875" customWidth="1"/>
    <col min="27" max="27" width="9.36328125" customWidth="1"/>
    <col min="28" max="28" width="18.1796875" customWidth="1"/>
    <col min="29" max="29" width="17.08984375" customWidth="1"/>
    <col min="30" max="30" width="14.90625" customWidth="1"/>
    <col min="31" max="31" width="18.54296875" customWidth="1"/>
  </cols>
  <sheetData>
    <row r="1" spans="1:31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28.5" thickBot="1" x14ac:dyDescent="0.4">
      <c r="A2" s="1" t="s">
        <v>31</v>
      </c>
      <c r="B2" s="1" t="s">
        <v>32</v>
      </c>
      <c r="C2" s="2" t="s">
        <v>33</v>
      </c>
      <c r="D2" s="2" t="s">
        <v>34</v>
      </c>
      <c r="E2" s="2"/>
      <c r="F2" s="2" t="s">
        <v>35</v>
      </c>
      <c r="G2" s="2" t="s">
        <v>36</v>
      </c>
      <c r="H2" s="2" t="s">
        <v>37</v>
      </c>
      <c r="I2" s="2" t="s">
        <v>38</v>
      </c>
      <c r="J2" s="1" t="s">
        <v>39</v>
      </c>
      <c r="K2" s="1" t="s">
        <v>40</v>
      </c>
      <c r="L2" s="1"/>
      <c r="M2" s="2" t="s">
        <v>41</v>
      </c>
      <c r="N2" s="2" t="s">
        <v>42</v>
      </c>
      <c r="O2" s="2" t="s">
        <v>43</v>
      </c>
      <c r="P2" s="2">
        <v>50</v>
      </c>
      <c r="Q2" s="2">
        <v>70</v>
      </c>
      <c r="R2" s="3">
        <f>(Q2-P2)/P2</f>
        <v>0.4</v>
      </c>
      <c r="S2" s="2">
        <f>Q2-P2</f>
        <v>20</v>
      </c>
      <c r="T2" s="2"/>
      <c r="U2" s="2"/>
      <c r="V2" s="2"/>
      <c r="W2" s="2"/>
      <c r="X2" s="3"/>
      <c r="Y2" s="3"/>
      <c r="AA2" s="2">
        <v>5005</v>
      </c>
      <c r="AB2" s="2"/>
      <c r="AC2" s="2" t="s">
        <v>44</v>
      </c>
      <c r="AD2" s="2" t="s">
        <v>45</v>
      </c>
      <c r="AE2" s="2">
        <v>1</v>
      </c>
    </row>
    <row r="3" spans="1:31" ht="28.5" thickBot="1" x14ac:dyDescent="0.4">
      <c r="A3" s="1" t="s">
        <v>31</v>
      </c>
      <c r="B3" s="1" t="s">
        <v>32</v>
      </c>
      <c r="C3" s="2" t="s">
        <v>33</v>
      </c>
      <c r="D3" s="2" t="s">
        <v>34</v>
      </c>
      <c r="E3" s="2"/>
      <c r="F3" s="2" t="s">
        <v>35</v>
      </c>
      <c r="G3" s="2" t="s">
        <v>36</v>
      </c>
      <c r="H3" s="2" t="s">
        <v>37</v>
      </c>
      <c r="I3" s="2" t="s">
        <v>38</v>
      </c>
      <c r="J3" s="1" t="s">
        <v>39</v>
      </c>
      <c r="K3" s="1" t="s">
        <v>40</v>
      </c>
      <c r="L3" s="1"/>
      <c r="M3" s="2" t="s">
        <v>41</v>
      </c>
      <c r="N3" s="2" t="s">
        <v>46</v>
      </c>
      <c r="O3" s="2" t="s">
        <v>43</v>
      </c>
      <c r="P3" s="2">
        <v>5</v>
      </c>
      <c r="Q3" s="2">
        <v>7</v>
      </c>
      <c r="R3" s="3">
        <f t="shared" ref="R3:R33" si="0">(Q3-P3)/P3</f>
        <v>0.4</v>
      </c>
      <c r="S3" s="2">
        <f t="shared" ref="S3:S33" si="1">Q3-P3</f>
        <v>2</v>
      </c>
      <c r="T3" s="2"/>
      <c r="U3" s="2"/>
      <c r="V3" s="2"/>
      <c r="W3" s="2"/>
      <c r="X3" s="3"/>
      <c r="Y3" s="3"/>
      <c r="AA3" s="2">
        <v>5005</v>
      </c>
      <c r="AB3" s="2"/>
      <c r="AC3" s="2" t="s">
        <v>44</v>
      </c>
      <c r="AD3" s="2" t="s">
        <v>45</v>
      </c>
      <c r="AE3" s="2">
        <v>2</v>
      </c>
    </row>
    <row r="4" spans="1:31" ht="28.5" thickBot="1" x14ac:dyDescent="0.4">
      <c r="A4" s="1" t="s">
        <v>31</v>
      </c>
      <c r="B4" s="1" t="s">
        <v>32</v>
      </c>
      <c r="C4" s="2" t="s">
        <v>33</v>
      </c>
      <c r="D4" s="2" t="s">
        <v>34</v>
      </c>
      <c r="E4" s="2"/>
      <c r="F4" s="2" t="s">
        <v>35</v>
      </c>
      <c r="G4" s="2" t="s">
        <v>36</v>
      </c>
      <c r="H4" s="2" t="s">
        <v>37</v>
      </c>
      <c r="I4" s="2" t="s">
        <v>38</v>
      </c>
      <c r="J4" s="1" t="s">
        <v>39</v>
      </c>
      <c r="K4" s="1" t="s">
        <v>40</v>
      </c>
      <c r="L4" s="1"/>
      <c r="M4" s="2" t="s">
        <v>41</v>
      </c>
      <c r="N4" s="2" t="s">
        <v>47</v>
      </c>
      <c r="O4" s="2" t="s">
        <v>43</v>
      </c>
      <c r="P4" s="2">
        <v>35</v>
      </c>
      <c r="Q4" s="2">
        <v>45</v>
      </c>
      <c r="R4" s="3">
        <f t="shared" si="0"/>
        <v>0.2857142857142857</v>
      </c>
      <c r="S4" s="2">
        <f t="shared" si="1"/>
        <v>10</v>
      </c>
      <c r="T4" s="2"/>
      <c r="U4" s="2"/>
      <c r="V4" s="2"/>
      <c r="W4" s="2"/>
      <c r="X4" s="3"/>
      <c r="Y4" s="3"/>
      <c r="AA4" s="2">
        <v>5005</v>
      </c>
      <c r="AB4" s="2"/>
      <c r="AC4" s="2" t="s">
        <v>44</v>
      </c>
      <c r="AD4" s="2" t="s">
        <v>45</v>
      </c>
      <c r="AE4" s="2">
        <v>3</v>
      </c>
    </row>
    <row r="5" spans="1:31" ht="28.5" thickBot="1" x14ac:dyDescent="0.4">
      <c r="A5" s="1" t="s">
        <v>31</v>
      </c>
      <c r="B5" s="1" t="s">
        <v>32</v>
      </c>
      <c r="C5" s="2" t="s">
        <v>33</v>
      </c>
      <c r="D5" s="2" t="s">
        <v>34</v>
      </c>
      <c r="E5" s="2"/>
      <c r="F5" s="2" t="s">
        <v>35</v>
      </c>
      <c r="G5" s="2" t="s">
        <v>36</v>
      </c>
      <c r="H5" s="2" t="s">
        <v>37</v>
      </c>
      <c r="I5" s="2" t="s">
        <v>38</v>
      </c>
      <c r="J5" s="1" t="s">
        <v>39</v>
      </c>
      <c r="K5" s="1" t="s">
        <v>40</v>
      </c>
      <c r="L5" s="1"/>
      <c r="M5" s="2" t="s">
        <v>41</v>
      </c>
      <c r="N5" s="2" t="s">
        <v>48</v>
      </c>
      <c r="O5" s="2" t="s">
        <v>49</v>
      </c>
      <c r="P5" s="4">
        <f>(P4/P2)</f>
        <v>0.7</v>
      </c>
      <c r="Q5" s="4">
        <f>(Q4/Q2)</f>
        <v>0.6428571428571429</v>
      </c>
      <c r="R5" s="3">
        <f t="shared" si="0"/>
        <v>-8.1632653061224358E-2</v>
      </c>
      <c r="S5" s="4">
        <f t="shared" si="1"/>
        <v>-5.7142857142857051E-2</v>
      </c>
      <c r="T5" s="2"/>
      <c r="U5" s="2"/>
      <c r="V5" s="2"/>
      <c r="W5" s="2"/>
      <c r="X5" s="3"/>
      <c r="Y5" s="3"/>
      <c r="AA5" s="2">
        <v>5005</v>
      </c>
      <c r="AB5" s="2"/>
      <c r="AC5" s="2" t="s">
        <v>44</v>
      </c>
      <c r="AD5" s="2" t="s">
        <v>45</v>
      </c>
      <c r="AE5" s="2">
        <v>4</v>
      </c>
    </row>
    <row r="6" spans="1:31" ht="28.5" thickBot="1" x14ac:dyDescent="0.4">
      <c r="A6" s="1" t="s">
        <v>31</v>
      </c>
      <c r="B6" s="1" t="s">
        <v>32</v>
      </c>
      <c r="C6" s="2" t="s">
        <v>33</v>
      </c>
      <c r="D6" s="2" t="s">
        <v>34</v>
      </c>
      <c r="E6" s="2"/>
      <c r="F6" s="2" t="s">
        <v>35</v>
      </c>
      <c r="G6" s="2" t="s">
        <v>36</v>
      </c>
      <c r="H6" s="2" t="s">
        <v>37</v>
      </c>
      <c r="I6" s="2" t="s">
        <v>38</v>
      </c>
      <c r="J6" s="1" t="s">
        <v>50</v>
      </c>
      <c r="K6" s="1" t="s">
        <v>40</v>
      </c>
      <c r="L6" s="1"/>
      <c r="M6" s="2" t="s">
        <v>41</v>
      </c>
      <c r="N6" s="2" t="s">
        <v>42</v>
      </c>
      <c r="O6" s="2" t="s">
        <v>43</v>
      </c>
      <c r="P6" s="2">
        <v>50</v>
      </c>
      <c r="Q6" s="2">
        <v>70</v>
      </c>
      <c r="R6" s="3">
        <f t="shared" si="0"/>
        <v>0.4</v>
      </c>
      <c r="S6" s="2">
        <f t="shared" si="1"/>
        <v>20</v>
      </c>
      <c r="T6" s="2"/>
      <c r="U6" s="2"/>
      <c r="V6" s="2"/>
      <c r="W6" s="2"/>
      <c r="X6" s="3"/>
      <c r="Y6" s="3"/>
      <c r="AA6" s="2">
        <v>5005</v>
      </c>
      <c r="AB6" s="2"/>
      <c r="AC6" s="2" t="s">
        <v>44</v>
      </c>
      <c r="AD6" s="2" t="s">
        <v>45</v>
      </c>
      <c r="AE6" s="2">
        <v>5</v>
      </c>
    </row>
    <row r="7" spans="1:31" ht="28.5" thickBot="1" x14ac:dyDescent="0.4">
      <c r="A7" s="1" t="s">
        <v>31</v>
      </c>
      <c r="B7" s="1" t="s">
        <v>32</v>
      </c>
      <c r="C7" s="2" t="s">
        <v>33</v>
      </c>
      <c r="D7" s="2" t="s">
        <v>34</v>
      </c>
      <c r="E7" s="2"/>
      <c r="F7" s="2" t="s">
        <v>35</v>
      </c>
      <c r="G7" s="2" t="s">
        <v>36</v>
      </c>
      <c r="H7" s="2" t="s">
        <v>37</v>
      </c>
      <c r="I7" s="2" t="s">
        <v>38</v>
      </c>
      <c r="J7" s="1" t="s">
        <v>50</v>
      </c>
      <c r="K7" s="1" t="s">
        <v>40</v>
      </c>
      <c r="L7" s="1"/>
      <c r="M7" s="2" t="s">
        <v>41</v>
      </c>
      <c r="N7" s="2" t="s">
        <v>46</v>
      </c>
      <c r="O7" s="2" t="s">
        <v>43</v>
      </c>
      <c r="P7" s="2">
        <v>6</v>
      </c>
      <c r="Q7" s="2">
        <v>8</v>
      </c>
      <c r="R7" s="3">
        <f t="shared" si="0"/>
        <v>0.33333333333333331</v>
      </c>
      <c r="S7" s="2">
        <f t="shared" si="1"/>
        <v>2</v>
      </c>
      <c r="T7" s="2"/>
      <c r="U7" s="2"/>
      <c r="V7" s="2"/>
      <c r="W7" s="2"/>
      <c r="X7" s="3"/>
      <c r="Y7" s="3"/>
      <c r="AA7" s="2">
        <v>5005</v>
      </c>
      <c r="AB7" s="2"/>
      <c r="AC7" s="2" t="s">
        <v>44</v>
      </c>
      <c r="AD7" s="2" t="s">
        <v>45</v>
      </c>
      <c r="AE7" s="2">
        <v>6</v>
      </c>
    </row>
    <row r="8" spans="1:31" ht="28.5" thickBot="1" x14ac:dyDescent="0.4">
      <c r="A8" s="1" t="s">
        <v>31</v>
      </c>
      <c r="B8" s="1" t="s">
        <v>32</v>
      </c>
      <c r="C8" s="2" t="s">
        <v>33</v>
      </c>
      <c r="D8" s="2" t="s">
        <v>34</v>
      </c>
      <c r="E8" s="2"/>
      <c r="F8" s="2" t="s">
        <v>35</v>
      </c>
      <c r="G8" s="2" t="s">
        <v>36</v>
      </c>
      <c r="H8" s="2" t="s">
        <v>37</v>
      </c>
      <c r="I8" s="2" t="s">
        <v>38</v>
      </c>
      <c r="J8" s="1" t="s">
        <v>50</v>
      </c>
      <c r="K8" s="1" t="s">
        <v>40</v>
      </c>
      <c r="L8" s="1"/>
      <c r="M8" s="2" t="s">
        <v>41</v>
      </c>
      <c r="N8" s="2" t="s">
        <v>47</v>
      </c>
      <c r="O8" s="2" t="s">
        <v>43</v>
      </c>
      <c r="P8" s="2">
        <v>35</v>
      </c>
      <c r="Q8" s="2">
        <v>45</v>
      </c>
      <c r="R8" s="3">
        <f t="shared" si="0"/>
        <v>0.2857142857142857</v>
      </c>
      <c r="S8" s="2">
        <f t="shared" si="1"/>
        <v>10</v>
      </c>
      <c r="T8" s="2"/>
      <c r="U8" s="2"/>
      <c r="V8" s="2"/>
      <c r="W8" s="2"/>
      <c r="X8" s="3"/>
      <c r="Y8" s="3"/>
      <c r="AA8" s="2">
        <v>5005</v>
      </c>
      <c r="AB8" s="2"/>
      <c r="AC8" s="2" t="s">
        <v>44</v>
      </c>
      <c r="AD8" s="2" t="s">
        <v>45</v>
      </c>
      <c r="AE8" s="2">
        <v>7</v>
      </c>
    </row>
    <row r="9" spans="1:31" ht="28.5" thickBot="1" x14ac:dyDescent="0.4">
      <c r="A9" s="1" t="s">
        <v>31</v>
      </c>
      <c r="B9" s="1" t="s">
        <v>32</v>
      </c>
      <c r="C9" s="2" t="s">
        <v>33</v>
      </c>
      <c r="D9" s="2" t="s">
        <v>34</v>
      </c>
      <c r="E9" s="2"/>
      <c r="F9" s="2" t="s">
        <v>35</v>
      </c>
      <c r="G9" s="2" t="s">
        <v>36</v>
      </c>
      <c r="H9" s="2" t="s">
        <v>37</v>
      </c>
      <c r="I9" s="2" t="s">
        <v>38</v>
      </c>
      <c r="J9" s="1" t="s">
        <v>50</v>
      </c>
      <c r="K9" s="1" t="s">
        <v>40</v>
      </c>
      <c r="L9" s="1"/>
      <c r="M9" s="2" t="s">
        <v>41</v>
      </c>
      <c r="N9" s="2" t="s">
        <v>48</v>
      </c>
      <c r="O9" s="2" t="s">
        <v>49</v>
      </c>
      <c r="P9" s="4">
        <f>(P8/P6)</f>
        <v>0.7</v>
      </c>
      <c r="Q9" s="4">
        <f>(Q8/Q6)</f>
        <v>0.6428571428571429</v>
      </c>
      <c r="R9" s="3">
        <f t="shared" si="0"/>
        <v>-8.1632653061224358E-2</v>
      </c>
      <c r="S9" s="4">
        <f t="shared" si="1"/>
        <v>-5.7142857142857051E-2</v>
      </c>
      <c r="T9" s="2"/>
      <c r="U9" s="2"/>
      <c r="V9" s="2"/>
      <c r="W9" s="2"/>
      <c r="X9" s="3"/>
      <c r="Y9" s="3"/>
      <c r="AA9" s="2">
        <v>5005</v>
      </c>
      <c r="AB9" s="2"/>
      <c r="AC9" s="2" t="s">
        <v>44</v>
      </c>
      <c r="AD9" s="2" t="s">
        <v>45</v>
      </c>
      <c r="AE9" s="2">
        <v>8</v>
      </c>
    </row>
    <row r="10" spans="1:31" ht="28.5" thickBot="1" x14ac:dyDescent="0.4">
      <c r="A10" s="1" t="s">
        <v>31</v>
      </c>
      <c r="B10" s="1" t="s">
        <v>32</v>
      </c>
      <c r="C10" s="2" t="s">
        <v>33</v>
      </c>
      <c r="D10" s="2" t="s">
        <v>34</v>
      </c>
      <c r="E10" s="2"/>
      <c r="F10" s="2" t="s">
        <v>35</v>
      </c>
      <c r="G10" s="2" t="s">
        <v>36</v>
      </c>
      <c r="H10" s="2" t="s">
        <v>37</v>
      </c>
      <c r="I10" s="2" t="s">
        <v>38</v>
      </c>
      <c r="J10" s="1" t="s">
        <v>51</v>
      </c>
      <c r="K10" s="1" t="s">
        <v>40</v>
      </c>
      <c r="L10" s="1"/>
      <c r="M10" s="2" t="s">
        <v>41</v>
      </c>
      <c r="N10" s="2" t="s">
        <v>42</v>
      </c>
      <c r="O10" s="2" t="s">
        <v>43</v>
      </c>
      <c r="P10" s="2">
        <v>60</v>
      </c>
      <c r="Q10" s="2">
        <v>80</v>
      </c>
      <c r="R10" s="3">
        <f t="shared" si="0"/>
        <v>0.33333333333333331</v>
      </c>
      <c r="S10" s="2">
        <f t="shared" si="1"/>
        <v>20</v>
      </c>
      <c r="T10" s="2"/>
      <c r="U10" s="2"/>
      <c r="V10" s="2"/>
      <c r="W10" s="2"/>
      <c r="X10" s="3"/>
      <c r="Y10" s="3"/>
      <c r="AA10" s="2">
        <v>5005</v>
      </c>
      <c r="AB10" s="2"/>
      <c r="AC10" s="2" t="s">
        <v>44</v>
      </c>
      <c r="AD10" s="2" t="s">
        <v>45</v>
      </c>
      <c r="AE10" s="2">
        <v>9</v>
      </c>
    </row>
    <row r="11" spans="1:31" ht="28.5" thickBot="1" x14ac:dyDescent="0.4">
      <c r="A11" s="1" t="s">
        <v>31</v>
      </c>
      <c r="B11" s="1" t="s">
        <v>32</v>
      </c>
      <c r="C11" s="2" t="s">
        <v>33</v>
      </c>
      <c r="D11" s="2" t="s">
        <v>34</v>
      </c>
      <c r="E11" s="2"/>
      <c r="F11" s="2" t="s">
        <v>35</v>
      </c>
      <c r="G11" s="2" t="s">
        <v>36</v>
      </c>
      <c r="H11" s="2" t="s">
        <v>37</v>
      </c>
      <c r="I11" s="2" t="s">
        <v>38</v>
      </c>
      <c r="J11" s="1" t="s">
        <v>51</v>
      </c>
      <c r="K11" s="1" t="s">
        <v>40</v>
      </c>
      <c r="L11" s="1"/>
      <c r="M11" s="2" t="s">
        <v>41</v>
      </c>
      <c r="N11" s="2" t="s">
        <v>46</v>
      </c>
      <c r="O11" s="2" t="s">
        <v>43</v>
      </c>
      <c r="P11" s="2">
        <v>6</v>
      </c>
      <c r="Q11" s="2">
        <v>9</v>
      </c>
      <c r="R11" s="3">
        <f t="shared" si="0"/>
        <v>0.5</v>
      </c>
      <c r="S11" s="2">
        <f t="shared" si="1"/>
        <v>3</v>
      </c>
      <c r="T11" s="2"/>
      <c r="U11" s="2"/>
      <c r="V11" s="2"/>
      <c r="W11" s="2"/>
      <c r="X11" s="3"/>
      <c r="Y11" s="3"/>
      <c r="AA11" s="2">
        <v>5005</v>
      </c>
      <c r="AB11" s="2"/>
      <c r="AC11" s="2" t="s">
        <v>44</v>
      </c>
      <c r="AD11" s="2" t="s">
        <v>45</v>
      </c>
      <c r="AE11" s="2">
        <v>10</v>
      </c>
    </row>
    <row r="12" spans="1:31" ht="28.5" thickBot="1" x14ac:dyDescent="0.4">
      <c r="A12" s="1" t="s">
        <v>31</v>
      </c>
      <c r="B12" s="1" t="s">
        <v>32</v>
      </c>
      <c r="C12" s="2" t="s">
        <v>33</v>
      </c>
      <c r="D12" s="2" t="s">
        <v>34</v>
      </c>
      <c r="E12" s="2"/>
      <c r="F12" s="2" t="s">
        <v>35</v>
      </c>
      <c r="G12" s="2" t="s">
        <v>36</v>
      </c>
      <c r="H12" s="2" t="s">
        <v>37</v>
      </c>
      <c r="I12" s="2" t="s">
        <v>38</v>
      </c>
      <c r="J12" s="1" t="s">
        <v>51</v>
      </c>
      <c r="K12" s="1" t="s">
        <v>40</v>
      </c>
      <c r="L12" s="1"/>
      <c r="M12" s="2" t="s">
        <v>41</v>
      </c>
      <c r="N12" s="2" t="s">
        <v>47</v>
      </c>
      <c r="O12" s="2" t="s">
        <v>43</v>
      </c>
      <c r="P12" s="2">
        <v>40</v>
      </c>
      <c r="Q12" s="2">
        <v>55</v>
      </c>
      <c r="R12" s="3">
        <f t="shared" si="0"/>
        <v>0.375</v>
      </c>
      <c r="S12" s="2">
        <f t="shared" si="1"/>
        <v>15</v>
      </c>
      <c r="T12" s="2"/>
      <c r="U12" s="2"/>
      <c r="V12" s="2"/>
      <c r="W12" s="2"/>
      <c r="X12" s="3"/>
      <c r="Y12" s="3"/>
      <c r="AA12" s="2">
        <v>5005</v>
      </c>
      <c r="AB12" s="2"/>
      <c r="AC12" s="2" t="s">
        <v>44</v>
      </c>
      <c r="AD12" s="2" t="s">
        <v>45</v>
      </c>
      <c r="AE12" s="2">
        <v>11</v>
      </c>
    </row>
    <row r="13" spans="1:31" ht="28.5" thickBot="1" x14ac:dyDescent="0.4">
      <c r="A13" s="1" t="s">
        <v>31</v>
      </c>
      <c r="B13" s="1" t="s">
        <v>32</v>
      </c>
      <c r="C13" s="2" t="s">
        <v>33</v>
      </c>
      <c r="D13" s="2" t="s">
        <v>34</v>
      </c>
      <c r="E13" s="2"/>
      <c r="F13" s="2" t="s">
        <v>35</v>
      </c>
      <c r="G13" s="2" t="s">
        <v>36</v>
      </c>
      <c r="H13" s="2" t="s">
        <v>37</v>
      </c>
      <c r="I13" s="2" t="s">
        <v>38</v>
      </c>
      <c r="J13" s="1" t="s">
        <v>51</v>
      </c>
      <c r="K13" s="1" t="s">
        <v>40</v>
      </c>
      <c r="L13" s="1"/>
      <c r="M13" s="2" t="s">
        <v>41</v>
      </c>
      <c r="N13" s="2" t="s">
        <v>48</v>
      </c>
      <c r="O13" s="2" t="s">
        <v>49</v>
      </c>
      <c r="P13" s="4">
        <f>(P12/P10)</f>
        <v>0.66666666666666663</v>
      </c>
      <c r="Q13" s="4">
        <f>(Q12/Q10)</f>
        <v>0.6875</v>
      </c>
      <c r="R13" s="3">
        <f t="shared" si="0"/>
        <v>3.1250000000000056E-2</v>
      </c>
      <c r="S13" s="4">
        <f t="shared" si="1"/>
        <v>2.083333333333337E-2</v>
      </c>
      <c r="T13" s="2"/>
      <c r="U13" s="2"/>
      <c r="V13" s="2"/>
      <c r="W13" s="2"/>
      <c r="X13" s="3"/>
      <c r="Y13" s="3"/>
      <c r="AA13" s="2">
        <v>5005</v>
      </c>
      <c r="AB13" s="2"/>
      <c r="AC13" s="2" t="s">
        <v>44</v>
      </c>
      <c r="AD13" s="2" t="s">
        <v>45</v>
      </c>
      <c r="AE13" s="2">
        <v>12</v>
      </c>
    </row>
    <row r="14" spans="1:31" ht="28.5" thickBot="1" x14ac:dyDescent="0.4">
      <c r="A14" s="1" t="s">
        <v>31</v>
      </c>
      <c r="B14" s="1" t="s">
        <v>32</v>
      </c>
      <c r="C14" s="2" t="s">
        <v>33</v>
      </c>
      <c r="D14" s="2" t="s">
        <v>34</v>
      </c>
      <c r="E14" s="2"/>
      <c r="F14" s="2" t="s">
        <v>35</v>
      </c>
      <c r="G14" s="2" t="s">
        <v>36</v>
      </c>
      <c r="H14" s="2" t="s">
        <v>37</v>
      </c>
      <c r="I14" s="2" t="s">
        <v>38</v>
      </c>
      <c r="J14" s="1" t="s">
        <v>40</v>
      </c>
      <c r="K14" s="1" t="s">
        <v>40</v>
      </c>
      <c r="L14" s="1"/>
      <c r="M14" s="2" t="s">
        <v>41</v>
      </c>
      <c r="N14" s="2" t="s">
        <v>42</v>
      </c>
      <c r="O14" s="2" t="s">
        <v>43</v>
      </c>
      <c r="P14" s="2">
        <v>160</v>
      </c>
      <c r="Q14" s="2">
        <v>220</v>
      </c>
      <c r="R14" s="3">
        <f t="shared" si="0"/>
        <v>0.375</v>
      </c>
      <c r="S14" s="2">
        <f t="shared" si="1"/>
        <v>60</v>
      </c>
      <c r="T14" s="2"/>
      <c r="U14" s="2"/>
      <c r="V14" s="2"/>
      <c r="W14" s="2"/>
      <c r="X14" s="3"/>
      <c r="Y14" s="3"/>
      <c r="AA14" s="2">
        <v>5005</v>
      </c>
      <c r="AB14" s="2"/>
      <c r="AC14" s="2" t="s">
        <v>44</v>
      </c>
      <c r="AD14" s="2" t="s">
        <v>45</v>
      </c>
      <c r="AE14" s="2">
        <v>13</v>
      </c>
    </row>
    <row r="15" spans="1:31" ht="28.5" thickBot="1" x14ac:dyDescent="0.4">
      <c r="A15" s="1" t="s">
        <v>31</v>
      </c>
      <c r="B15" s="1" t="s">
        <v>32</v>
      </c>
      <c r="C15" s="2" t="s">
        <v>33</v>
      </c>
      <c r="D15" s="2" t="s">
        <v>34</v>
      </c>
      <c r="E15" s="2"/>
      <c r="F15" s="2" t="s">
        <v>35</v>
      </c>
      <c r="G15" s="2" t="s">
        <v>36</v>
      </c>
      <c r="H15" s="2" t="s">
        <v>37</v>
      </c>
      <c r="I15" s="2" t="s">
        <v>38</v>
      </c>
      <c r="J15" s="1" t="s">
        <v>40</v>
      </c>
      <c r="K15" s="1" t="s">
        <v>40</v>
      </c>
      <c r="L15" s="1"/>
      <c r="M15" s="2" t="s">
        <v>41</v>
      </c>
      <c r="N15" s="2" t="s">
        <v>46</v>
      </c>
      <c r="O15" s="2" t="s">
        <v>43</v>
      </c>
      <c r="P15" s="2">
        <v>17</v>
      </c>
      <c r="Q15" s="2">
        <v>24</v>
      </c>
      <c r="R15" s="3">
        <f t="shared" si="0"/>
        <v>0.41176470588235292</v>
      </c>
      <c r="S15" s="2">
        <f t="shared" si="1"/>
        <v>7</v>
      </c>
      <c r="T15" s="2"/>
      <c r="U15" s="2"/>
      <c r="V15" s="2"/>
      <c r="W15" s="2"/>
      <c r="X15" s="3"/>
      <c r="Y15" s="3"/>
      <c r="AA15" s="2">
        <v>5005</v>
      </c>
      <c r="AB15" s="2"/>
      <c r="AC15" s="2" t="s">
        <v>44</v>
      </c>
      <c r="AD15" s="2" t="s">
        <v>45</v>
      </c>
      <c r="AE15" s="2">
        <v>14</v>
      </c>
    </row>
    <row r="16" spans="1:31" ht="28.5" thickBot="1" x14ac:dyDescent="0.4">
      <c r="A16" s="1" t="s">
        <v>31</v>
      </c>
      <c r="B16" s="1" t="s">
        <v>32</v>
      </c>
      <c r="C16" s="2" t="s">
        <v>33</v>
      </c>
      <c r="D16" s="2" t="s">
        <v>34</v>
      </c>
      <c r="E16" s="2"/>
      <c r="F16" s="2" t="s">
        <v>35</v>
      </c>
      <c r="G16" s="2" t="s">
        <v>36</v>
      </c>
      <c r="H16" s="2" t="s">
        <v>37</v>
      </c>
      <c r="I16" s="2" t="s">
        <v>38</v>
      </c>
      <c r="J16" s="1" t="s">
        <v>40</v>
      </c>
      <c r="K16" s="1" t="s">
        <v>40</v>
      </c>
      <c r="L16" s="1"/>
      <c r="M16" s="2" t="s">
        <v>41</v>
      </c>
      <c r="N16" s="2" t="s">
        <v>47</v>
      </c>
      <c r="O16" s="2" t="s">
        <v>43</v>
      </c>
      <c r="P16" s="2">
        <v>110</v>
      </c>
      <c r="Q16" s="2">
        <v>145</v>
      </c>
      <c r="R16" s="3">
        <f t="shared" si="0"/>
        <v>0.31818181818181818</v>
      </c>
      <c r="S16" s="2">
        <f t="shared" si="1"/>
        <v>35</v>
      </c>
      <c r="T16" s="2"/>
      <c r="U16" s="2"/>
      <c r="V16" s="2"/>
      <c r="W16" s="2"/>
      <c r="X16" s="3"/>
      <c r="Y16" s="3"/>
      <c r="AA16" s="2">
        <v>5005</v>
      </c>
      <c r="AB16" s="2"/>
      <c r="AC16" s="2" t="s">
        <v>44</v>
      </c>
      <c r="AD16" s="2" t="s">
        <v>45</v>
      </c>
      <c r="AE16" s="2">
        <v>15</v>
      </c>
    </row>
    <row r="17" spans="1:31" ht="28.5" thickBot="1" x14ac:dyDescent="0.4">
      <c r="A17" s="1" t="s">
        <v>31</v>
      </c>
      <c r="B17" s="1" t="s">
        <v>32</v>
      </c>
      <c r="C17" s="2" t="s">
        <v>33</v>
      </c>
      <c r="D17" s="2" t="s">
        <v>34</v>
      </c>
      <c r="E17" s="2"/>
      <c r="F17" s="2" t="s">
        <v>35</v>
      </c>
      <c r="G17" s="2" t="s">
        <v>36</v>
      </c>
      <c r="H17" s="2" t="s">
        <v>37</v>
      </c>
      <c r="I17" s="2" t="s">
        <v>38</v>
      </c>
      <c r="J17" s="1" t="s">
        <v>40</v>
      </c>
      <c r="K17" s="1" t="s">
        <v>40</v>
      </c>
      <c r="L17" s="1"/>
      <c r="M17" s="2" t="s">
        <v>41</v>
      </c>
      <c r="N17" s="2" t="s">
        <v>48</v>
      </c>
      <c r="O17" s="2" t="s">
        <v>49</v>
      </c>
      <c r="P17" s="4">
        <f>(P16/P14)</f>
        <v>0.6875</v>
      </c>
      <c r="Q17" s="4">
        <f>(Q16/Q14)</f>
        <v>0.65909090909090906</v>
      </c>
      <c r="R17" s="3">
        <f t="shared" si="0"/>
        <v>-4.132231404958682E-2</v>
      </c>
      <c r="S17" s="4">
        <f t="shared" si="1"/>
        <v>-2.8409090909090939E-2</v>
      </c>
      <c r="T17" s="2"/>
      <c r="U17" s="2"/>
      <c r="V17" s="2"/>
      <c r="W17" s="2"/>
      <c r="X17" s="3"/>
      <c r="Y17" s="3"/>
      <c r="AA17" s="2">
        <v>5005</v>
      </c>
      <c r="AB17" s="2"/>
      <c r="AC17" s="2" t="s">
        <v>44</v>
      </c>
      <c r="AD17" s="2" t="s">
        <v>45</v>
      </c>
      <c r="AE17" s="2">
        <v>16</v>
      </c>
    </row>
    <row r="18" spans="1:31" ht="28.5" thickBot="1" x14ac:dyDescent="0.4">
      <c r="A18" s="1" t="s">
        <v>31</v>
      </c>
      <c r="B18" s="1" t="s">
        <v>32</v>
      </c>
      <c r="C18" s="2" t="s">
        <v>33</v>
      </c>
      <c r="D18" s="2" t="s">
        <v>52</v>
      </c>
      <c r="E18" s="2"/>
      <c r="F18" s="2" t="s">
        <v>35</v>
      </c>
      <c r="G18" s="2" t="s">
        <v>53</v>
      </c>
      <c r="H18" s="2" t="s">
        <v>37</v>
      </c>
      <c r="I18" s="2" t="s">
        <v>54</v>
      </c>
      <c r="J18" s="1" t="s">
        <v>39</v>
      </c>
      <c r="K18" s="1" t="s">
        <v>40</v>
      </c>
      <c r="L18" s="1"/>
      <c r="M18" s="2" t="s">
        <v>41</v>
      </c>
      <c r="N18" s="2" t="s">
        <v>42</v>
      </c>
      <c r="O18" s="2" t="s">
        <v>43</v>
      </c>
      <c r="P18" s="2">
        <v>20</v>
      </c>
      <c r="Q18" s="2">
        <v>40</v>
      </c>
      <c r="R18" s="3">
        <f t="shared" si="0"/>
        <v>1</v>
      </c>
      <c r="S18" s="2">
        <f t="shared" si="1"/>
        <v>20</v>
      </c>
      <c r="T18" s="2"/>
      <c r="U18" s="2"/>
      <c r="V18" s="2"/>
      <c r="W18" s="2"/>
      <c r="X18" s="3"/>
      <c r="Y18" s="3"/>
      <c r="AA18" s="2">
        <v>5005</v>
      </c>
      <c r="AB18" s="2"/>
      <c r="AC18" s="2" t="s">
        <v>44</v>
      </c>
      <c r="AD18" s="2" t="s">
        <v>45</v>
      </c>
      <c r="AE18" s="2">
        <v>17</v>
      </c>
    </row>
    <row r="19" spans="1:31" ht="28.5" thickBot="1" x14ac:dyDescent="0.4">
      <c r="A19" s="1" t="s">
        <v>31</v>
      </c>
      <c r="B19" s="1" t="s">
        <v>32</v>
      </c>
      <c r="C19" s="2" t="s">
        <v>33</v>
      </c>
      <c r="D19" s="2" t="s">
        <v>52</v>
      </c>
      <c r="E19" s="2"/>
      <c r="F19" s="2" t="s">
        <v>35</v>
      </c>
      <c r="G19" s="2" t="s">
        <v>53</v>
      </c>
      <c r="H19" s="2" t="s">
        <v>37</v>
      </c>
      <c r="I19" s="2" t="s">
        <v>54</v>
      </c>
      <c r="J19" s="1" t="s">
        <v>39</v>
      </c>
      <c r="K19" s="1" t="s">
        <v>40</v>
      </c>
      <c r="L19" s="1"/>
      <c r="M19" s="2" t="s">
        <v>41</v>
      </c>
      <c r="N19" s="2" t="s">
        <v>46</v>
      </c>
      <c r="O19" s="2" t="s">
        <v>43</v>
      </c>
      <c r="P19" s="2">
        <v>3</v>
      </c>
      <c r="Q19" s="2">
        <v>2</v>
      </c>
      <c r="R19" s="3">
        <f t="shared" si="0"/>
        <v>-0.33333333333333331</v>
      </c>
      <c r="S19" s="2">
        <f t="shared" si="1"/>
        <v>-1</v>
      </c>
      <c r="T19" s="2"/>
      <c r="U19" s="2"/>
      <c r="V19" s="2"/>
      <c r="W19" s="2"/>
      <c r="X19" s="3"/>
      <c r="Y19" s="3"/>
      <c r="AA19" s="2">
        <v>5005</v>
      </c>
      <c r="AB19" s="2"/>
      <c r="AC19" s="2" t="s">
        <v>44</v>
      </c>
      <c r="AD19" s="2" t="s">
        <v>45</v>
      </c>
      <c r="AE19" s="2">
        <v>18</v>
      </c>
    </row>
    <row r="20" spans="1:31" ht="28.5" thickBot="1" x14ac:dyDescent="0.4">
      <c r="A20" s="1" t="s">
        <v>31</v>
      </c>
      <c r="B20" s="1" t="s">
        <v>32</v>
      </c>
      <c r="C20" s="2" t="s">
        <v>33</v>
      </c>
      <c r="D20" s="2" t="s">
        <v>52</v>
      </c>
      <c r="E20" s="2"/>
      <c r="F20" s="2" t="s">
        <v>35</v>
      </c>
      <c r="G20" s="2" t="s">
        <v>53</v>
      </c>
      <c r="H20" s="2" t="s">
        <v>37</v>
      </c>
      <c r="I20" s="2" t="s">
        <v>54</v>
      </c>
      <c r="J20" s="1" t="s">
        <v>39</v>
      </c>
      <c r="K20" s="1" t="s">
        <v>40</v>
      </c>
      <c r="L20" s="1"/>
      <c r="M20" s="2" t="s">
        <v>41</v>
      </c>
      <c r="N20" s="2" t="s">
        <v>47</v>
      </c>
      <c r="O20" s="2" t="s">
        <v>43</v>
      </c>
      <c r="P20" s="2">
        <v>10</v>
      </c>
      <c r="Q20" s="2">
        <v>15</v>
      </c>
      <c r="R20" s="3">
        <f t="shared" si="0"/>
        <v>0.5</v>
      </c>
      <c r="S20" s="2">
        <f t="shared" si="1"/>
        <v>5</v>
      </c>
      <c r="T20" s="2"/>
      <c r="U20" s="2"/>
      <c r="V20" s="2"/>
      <c r="W20" s="2"/>
      <c r="X20" s="3"/>
      <c r="Y20" s="3"/>
      <c r="AA20" s="2">
        <v>5005</v>
      </c>
      <c r="AB20" s="2"/>
      <c r="AC20" s="2" t="s">
        <v>44</v>
      </c>
      <c r="AD20" s="2" t="s">
        <v>45</v>
      </c>
      <c r="AE20" s="2">
        <v>19</v>
      </c>
    </row>
    <row r="21" spans="1:31" ht="28.5" thickBot="1" x14ac:dyDescent="0.4">
      <c r="A21" s="1" t="s">
        <v>31</v>
      </c>
      <c r="B21" s="1" t="s">
        <v>32</v>
      </c>
      <c r="C21" s="2" t="s">
        <v>33</v>
      </c>
      <c r="D21" s="2" t="s">
        <v>52</v>
      </c>
      <c r="E21" s="2"/>
      <c r="F21" s="2" t="s">
        <v>35</v>
      </c>
      <c r="G21" s="2" t="s">
        <v>53</v>
      </c>
      <c r="H21" s="2" t="s">
        <v>37</v>
      </c>
      <c r="I21" s="2" t="s">
        <v>54</v>
      </c>
      <c r="J21" s="1" t="s">
        <v>39</v>
      </c>
      <c r="K21" s="1" t="s">
        <v>40</v>
      </c>
      <c r="L21" s="1"/>
      <c r="M21" s="2" t="s">
        <v>41</v>
      </c>
      <c r="N21" s="2" t="s">
        <v>48</v>
      </c>
      <c r="O21" s="2" t="s">
        <v>49</v>
      </c>
      <c r="P21" s="4">
        <f>(P20/P18)</f>
        <v>0.5</v>
      </c>
      <c r="Q21" s="4">
        <f>(Q20/Q18)</f>
        <v>0.375</v>
      </c>
      <c r="R21" s="3">
        <f t="shared" si="0"/>
        <v>-0.25</v>
      </c>
      <c r="S21" s="4">
        <f t="shared" si="1"/>
        <v>-0.125</v>
      </c>
      <c r="T21" s="2"/>
      <c r="U21" s="2"/>
      <c r="V21" s="2"/>
      <c r="W21" s="2"/>
      <c r="X21" s="3"/>
      <c r="Y21" s="3"/>
      <c r="AA21" s="2">
        <v>5005</v>
      </c>
      <c r="AB21" s="2"/>
      <c r="AC21" s="2" t="s">
        <v>44</v>
      </c>
      <c r="AD21" s="2" t="s">
        <v>45</v>
      </c>
      <c r="AE21" s="2">
        <v>20</v>
      </c>
    </row>
    <row r="22" spans="1:31" ht="28.5" thickBot="1" x14ac:dyDescent="0.4">
      <c r="A22" s="1" t="s">
        <v>31</v>
      </c>
      <c r="B22" s="1" t="s">
        <v>32</v>
      </c>
      <c r="C22" s="2" t="s">
        <v>33</v>
      </c>
      <c r="D22" s="2" t="s">
        <v>52</v>
      </c>
      <c r="E22" s="2"/>
      <c r="F22" s="2" t="s">
        <v>35</v>
      </c>
      <c r="G22" s="2" t="s">
        <v>53</v>
      </c>
      <c r="H22" s="2" t="s">
        <v>37</v>
      </c>
      <c r="I22" s="2" t="s">
        <v>54</v>
      </c>
      <c r="J22" s="1" t="s">
        <v>50</v>
      </c>
      <c r="K22" s="1" t="s">
        <v>40</v>
      </c>
      <c r="L22" s="1"/>
      <c r="M22" s="2" t="s">
        <v>41</v>
      </c>
      <c r="N22" s="2" t="s">
        <v>42</v>
      </c>
      <c r="O22" s="2" t="s">
        <v>43</v>
      </c>
      <c r="P22" s="2">
        <v>30</v>
      </c>
      <c r="Q22" s="2">
        <v>50</v>
      </c>
      <c r="R22" s="3">
        <f t="shared" si="0"/>
        <v>0.66666666666666663</v>
      </c>
      <c r="S22" s="2">
        <f t="shared" si="1"/>
        <v>20</v>
      </c>
      <c r="T22" s="2"/>
      <c r="U22" s="2"/>
      <c r="V22" s="2"/>
      <c r="W22" s="2"/>
      <c r="X22" s="3"/>
      <c r="Y22" s="3"/>
      <c r="AA22" s="2">
        <v>5005</v>
      </c>
      <c r="AB22" s="2"/>
      <c r="AC22" s="2" t="s">
        <v>44</v>
      </c>
      <c r="AD22" s="2" t="s">
        <v>45</v>
      </c>
      <c r="AE22" s="2">
        <v>21</v>
      </c>
    </row>
    <row r="23" spans="1:31" ht="28.5" thickBot="1" x14ac:dyDescent="0.4">
      <c r="A23" s="1" t="s">
        <v>31</v>
      </c>
      <c r="B23" s="1" t="s">
        <v>32</v>
      </c>
      <c r="C23" s="2" t="s">
        <v>33</v>
      </c>
      <c r="D23" s="2" t="s">
        <v>52</v>
      </c>
      <c r="E23" s="2"/>
      <c r="F23" s="2" t="s">
        <v>35</v>
      </c>
      <c r="G23" s="2" t="s">
        <v>53</v>
      </c>
      <c r="H23" s="2" t="s">
        <v>37</v>
      </c>
      <c r="I23" s="2" t="s">
        <v>54</v>
      </c>
      <c r="J23" s="1" t="s">
        <v>50</v>
      </c>
      <c r="K23" s="1" t="s">
        <v>40</v>
      </c>
      <c r="L23" s="1"/>
      <c r="M23" s="2" t="s">
        <v>41</v>
      </c>
      <c r="N23" s="2" t="s">
        <v>46</v>
      </c>
      <c r="O23" s="2" t="s">
        <v>43</v>
      </c>
      <c r="P23" s="2">
        <v>2</v>
      </c>
      <c r="Q23" s="2">
        <v>4</v>
      </c>
      <c r="R23" s="3">
        <f t="shared" si="0"/>
        <v>1</v>
      </c>
      <c r="S23" s="2">
        <f t="shared" si="1"/>
        <v>2</v>
      </c>
      <c r="T23" s="2"/>
      <c r="U23" s="2"/>
      <c r="V23" s="2"/>
      <c r="W23" s="2"/>
      <c r="X23" s="3"/>
      <c r="Y23" s="3"/>
      <c r="AA23" s="2">
        <v>5005</v>
      </c>
      <c r="AB23" s="2"/>
      <c r="AC23" s="2" t="s">
        <v>44</v>
      </c>
      <c r="AD23" s="2" t="s">
        <v>45</v>
      </c>
      <c r="AE23" s="2">
        <v>22</v>
      </c>
    </row>
    <row r="24" spans="1:31" ht="28.5" thickBot="1" x14ac:dyDescent="0.4">
      <c r="A24" s="1" t="s">
        <v>31</v>
      </c>
      <c r="B24" s="1" t="s">
        <v>32</v>
      </c>
      <c r="C24" s="2" t="s">
        <v>33</v>
      </c>
      <c r="D24" s="2" t="s">
        <v>52</v>
      </c>
      <c r="E24" s="2"/>
      <c r="F24" s="2" t="s">
        <v>35</v>
      </c>
      <c r="G24" s="2" t="s">
        <v>53</v>
      </c>
      <c r="H24" s="2" t="s">
        <v>37</v>
      </c>
      <c r="I24" s="2" t="s">
        <v>54</v>
      </c>
      <c r="J24" s="1" t="s">
        <v>50</v>
      </c>
      <c r="K24" s="1" t="s">
        <v>40</v>
      </c>
      <c r="L24" s="1"/>
      <c r="M24" s="2" t="s">
        <v>41</v>
      </c>
      <c r="N24" s="2" t="s">
        <v>47</v>
      </c>
      <c r="O24" s="2" t="s">
        <v>43</v>
      </c>
      <c r="P24" s="2">
        <v>15</v>
      </c>
      <c r="Q24" s="2">
        <v>25</v>
      </c>
      <c r="R24" s="3">
        <f t="shared" si="0"/>
        <v>0.66666666666666663</v>
      </c>
      <c r="S24" s="2">
        <f t="shared" si="1"/>
        <v>10</v>
      </c>
      <c r="T24" s="2"/>
      <c r="U24" s="2"/>
      <c r="V24" s="2"/>
      <c r="W24" s="2"/>
      <c r="X24" s="3"/>
      <c r="Y24" s="3"/>
      <c r="AA24" s="2">
        <v>5005</v>
      </c>
      <c r="AB24" s="2"/>
      <c r="AC24" s="2" t="s">
        <v>44</v>
      </c>
      <c r="AD24" s="2" t="s">
        <v>45</v>
      </c>
      <c r="AE24" s="2">
        <v>23</v>
      </c>
    </row>
    <row r="25" spans="1:31" ht="28.5" thickBot="1" x14ac:dyDescent="0.4">
      <c r="A25" s="1" t="s">
        <v>31</v>
      </c>
      <c r="B25" s="1" t="s">
        <v>32</v>
      </c>
      <c r="C25" s="2" t="s">
        <v>33</v>
      </c>
      <c r="D25" s="2" t="s">
        <v>52</v>
      </c>
      <c r="E25" s="2"/>
      <c r="F25" s="2" t="s">
        <v>35</v>
      </c>
      <c r="G25" s="2" t="s">
        <v>53</v>
      </c>
      <c r="H25" s="2" t="s">
        <v>37</v>
      </c>
      <c r="I25" s="2" t="s">
        <v>54</v>
      </c>
      <c r="J25" s="1" t="s">
        <v>50</v>
      </c>
      <c r="K25" s="1" t="s">
        <v>40</v>
      </c>
      <c r="L25" s="1"/>
      <c r="M25" s="2" t="s">
        <v>41</v>
      </c>
      <c r="N25" s="2" t="s">
        <v>48</v>
      </c>
      <c r="O25" s="2" t="s">
        <v>49</v>
      </c>
      <c r="P25" s="4">
        <f>(P24/P22)</f>
        <v>0.5</v>
      </c>
      <c r="Q25" s="4">
        <f>(Q24/Q22)</f>
        <v>0.5</v>
      </c>
      <c r="R25" s="3">
        <f t="shared" si="0"/>
        <v>0</v>
      </c>
      <c r="S25" s="4">
        <f t="shared" si="1"/>
        <v>0</v>
      </c>
      <c r="T25" s="2"/>
      <c r="U25" s="2"/>
      <c r="V25" s="2"/>
      <c r="W25" s="2"/>
      <c r="X25" s="3"/>
      <c r="Y25" s="3"/>
      <c r="AA25" s="2">
        <v>5005</v>
      </c>
      <c r="AB25" s="2"/>
      <c r="AC25" s="2" t="s">
        <v>44</v>
      </c>
      <c r="AD25" s="2" t="s">
        <v>45</v>
      </c>
      <c r="AE25" s="2">
        <v>24</v>
      </c>
    </row>
    <row r="26" spans="1:31" ht="28.5" thickBot="1" x14ac:dyDescent="0.4">
      <c r="A26" s="1" t="s">
        <v>31</v>
      </c>
      <c r="B26" s="1" t="s">
        <v>32</v>
      </c>
      <c r="C26" s="2" t="s">
        <v>33</v>
      </c>
      <c r="D26" s="2" t="s">
        <v>52</v>
      </c>
      <c r="E26" s="2"/>
      <c r="F26" s="2" t="s">
        <v>35</v>
      </c>
      <c r="G26" s="2" t="s">
        <v>53</v>
      </c>
      <c r="H26" s="2" t="s">
        <v>37</v>
      </c>
      <c r="I26" s="2" t="s">
        <v>54</v>
      </c>
      <c r="J26" s="1" t="s">
        <v>51</v>
      </c>
      <c r="K26" s="1" t="s">
        <v>40</v>
      </c>
      <c r="L26" s="1"/>
      <c r="M26" s="2" t="s">
        <v>41</v>
      </c>
      <c r="N26" s="2" t="s">
        <v>42</v>
      </c>
      <c r="O26" s="2" t="s">
        <v>43</v>
      </c>
      <c r="P26" s="2">
        <v>40</v>
      </c>
      <c r="Q26" s="2">
        <v>60</v>
      </c>
      <c r="R26" s="3">
        <f t="shared" si="0"/>
        <v>0.5</v>
      </c>
      <c r="S26" s="2">
        <f t="shared" si="1"/>
        <v>20</v>
      </c>
      <c r="T26" s="2"/>
      <c r="U26" s="2"/>
      <c r="V26" s="2"/>
      <c r="W26" s="2"/>
      <c r="X26" s="3"/>
      <c r="Y26" s="3"/>
      <c r="AA26" s="2">
        <v>5005</v>
      </c>
      <c r="AB26" s="2"/>
      <c r="AC26" s="2" t="s">
        <v>44</v>
      </c>
      <c r="AD26" s="2" t="s">
        <v>45</v>
      </c>
      <c r="AE26" s="2">
        <v>25</v>
      </c>
    </row>
    <row r="27" spans="1:31" ht="28.5" thickBot="1" x14ac:dyDescent="0.4">
      <c r="A27" s="1" t="s">
        <v>31</v>
      </c>
      <c r="B27" s="1" t="s">
        <v>32</v>
      </c>
      <c r="C27" s="2" t="s">
        <v>33</v>
      </c>
      <c r="D27" s="2" t="s">
        <v>52</v>
      </c>
      <c r="E27" s="2"/>
      <c r="F27" s="2" t="s">
        <v>35</v>
      </c>
      <c r="G27" s="2" t="s">
        <v>53</v>
      </c>
      <c r="H27" s="2" t="s">
        <v>37</v>
      </c>
      <c r="I27" s="2" t="s">
        <v>54</v>
      </c>
      <c r="J27" s="1" t="s">
        <v>51</v>
      </c>
      <c r="K27" s="1" t="s">
        <v>40</v>
      </c>
      <c r="L27" s="1"/>
      <c r="M27" s="2" t="s">
        <v>41</v>
      </c>
      <c r="N27" s="2" t="s">
        <v>46</v>
      </c>
      <c r="O27" s="2" t="s">
        <v>43</v>
      </c>
      <c r="P27" s="2">
        <v>5</v>
      </c>
      <c r="Q27" s="2">
        <v>1</v>
      </c>
      <c r="R27" s="3">
        <f t="shared" si="0"/>
        <v>-0.8</v>
      </c>
      <c r="S27" s="2">
        <f t="shared" si="1"/>
        <v>-4</v>
      </c>
      <c r="T27" s="2"/>
      <c r="U27" s="2"/>
      <c r="V27" s="2"/>
      <c r="W27" s="2"/>
      <c r="X27" s="3"/>
      <c r="Y27" s="3"/>
      <c r="AA27" s="2">
        <v>5005</v>
      </c>
      <c r="AB27" s="2"/>
      <c r="AC27" s="2" t="s">
        <v>44</v>
      </c>
      <c r="AD27" s="2" t="s">
        <v>45</v>
      </c>
      <c r="AE27" s="2">
        <v>26</v>
      </c>
    </row>
    <row r="28" spans="1:31" ht="28.5" thickBot="1" x14ac:dyDescent="0.4">
      <c r="A28" s="1" t="s">
        <v>31</v>
      </c>
      <c r="B28" s="1" t="s">
        <v>32</v>
      </c>
      <c r="C28" s="2" t="s">
        <v>33</v>
      </c>
      <c r="D28" s="2" t="s">
        <v>52</v>
      </c>
      <c r="E28" s="2"/>
      <c r="F28" s="2" t="s">
        <v>35</v>
      </c>
      <c r="G28" s="2" t="s">
        <v>53</v>
      </c>
      <c r="H28" s="2" t="s">
        <v>37</v>
      </c>
      <c r="I28" s="2" t="s">
        <v>54</v>
      </c>
      <c r="J28" s="1" t="s">
        <v>51</v>
      </c>
      <c r="K28" s="1" t="s">
        <v>40</v>
      </c>
      <c r="L28" s="1"/>
      <c r="M28" s="2" t="s">
        <v>41</v>
      </c>
      <c r="N28" s="2" t="s">
        <v>47</v>
      </c>
      <c r="O28" s="2" t="s">
        <v>43</v>
      </c>
      <c r="P28" s="2">
        <v>20</v>
      </c>
      <c r="Q28" s="2">
        <v>30</v>
      </c>
      <c r="R28" s="3">
        <f t="shared" si="0"/>
        <v>0.5</v>
      </c>
      <c r="S28" s="2">
        <f t="shared" si="1"/>
        <v>10</v>
      </c>
      <c r="T28" s="2"/>
      <c r="U28" s="2"/>
      <c r="V28" s="2"/>
      <c r="W28" s="2"/>
      <c r="X28" s="3"/>
      <c r="Y28" s="3"/>
      <c r="AA28" s="2">
        <v>5005</v>
      </c>
      <c r="AB28" s="2"/>
      <c r="AC28" s="2" t="s">
        <v>44</v>
      </c>
      <c r="AD28" s="2" t="s">
        <v>45</v>
      </c>
      <c r="AE28" s="2">
        <v>27</v>
      </c>
    </row>
    <row r="29" spans="1:31" ht="28.5" thickBot="1" x14ac:dyDescent="0.4">
      <c r="A29" s="1" t="s">
        <v>31</v>
      </c>
      <c r="B29" s="1" t="s">
        <v>32</v>
      </c>
      <c r="C29" s="2" t="s">
        <v>33</v>
      </c>
      <c r="D29" s="2" t="s">
        <v>52</v>
      </c>
      <c r="E29" s="2"/>
      <c r="F29" s="2" t="s">
        <v>35</v>
      </c>
      <c r="G29" s="2" t="s">
        <v>53</v>
      </c>
      <c r="H29" s="2" t="s">
        <v>37</v>
      </c>
      <c r="I29" s="2" t="s">
        <v>54</v>
      </c>
      <c r="J29" s="1" t="s">
        <v>51</v>
      </c>
      <c r="K29" s="1" t="s">
        <v>40</v>
      </c>
      <c r="L29" s="1"/>
      <c r="M29" s="2" t="s">
        <v>41</v>
      </c>
      <c r="N29" s="2" t="s">
        <v>48</v>
      </c>
      <c r="O29" s="2" t="s">
        <v>49</v>
      </c>
      <c r="P29" s="4">
        <f>(P28/P26)</f>
        <v>0.5</v>
      </c>
      <c r="Q29" s="4">
        <f>(Q28/Q26)</f>
        <v>0.5</v>
      </c>
      <c r="R29" s="3">
        <f t="shared" si="0"/>
        <v>0</v>
      </c>
      <c r="S29" s="4">
        <f t="shared" si="1"/>
        <v>0</v>
      </c>
      <c r="T29" s="2"/>
      <c r="U29" s="2"/>
      <c r="V29" s="2"/>
      <c r="W29" s="2"/>
      <c r="X29" s="3"/>
      <c r="Y29" s="3"/>
      <c r="AA29" s="2">
        <v>5005</v>
      </c>
      <c r="AB29" s="2"/>
      <c r="AC29" s="2" t="s">
        <v>44</v>
      </c>
      <c r="AD29" s="2" t="s">
        <v>45</v>
      </c>
      <c r="AE29" s="2">
        <v>28</v>
      </c>
    </row>
    <row r="30" spans="1:31" ht="28.5" thickBot="1" x14ac:dyDescent="0.4">
      <c r="A30" s="1" t="s">
        <v>31</v>
      </c>
      <c r="B30" s="1" t="s">
        <v>32</v>
      </c>
      <c r="C30" s="2" t="s">
        <v>33</v>
      </c>
      <c r="D30" s="2" t="s">
        <v>52</v>
      </c>
      <c r="E30" s="2"/>
      <c r="F30" s="2" t="s">
        <v>35</v>
      </c>
      <c r="G30" s="2" t="s">
        <v>53</v>
      </c>
      <c r="H30" s="2" t="s">
        <v>37</v>
      </c>
      <c r="I30" s="2" t="s">
        <v>54</v>
      </c>
      <c r="J30" s="1" t="s">
        <v>40</v>
      </c>
      <c r="K30" s="1" t="s">
        <v>40</v>
      </c>
      <c r="L30" s="1"/>
      <c r="M30" s="2" t="s">
        <v>41</v>
      </c>
      <c r="N30" s="2" t="s">
        <v>42</v>
      </c>
      <c r="O30" s="2" t="s">
        <v>43</v>
      </c>
      <c r="P30" s="2">
        <v>90</v>
      </c>
      <c r="Q30" s="2">
        <v>150</v>
      </c>
      <c r="R30" s="3">
        <f t="shared" si="0"/>
        <v>0.66666666666666663</v>
      </c>
      <c r="S30" s="2">
        <f t="shared" si="1"/>
        <v>60</v>
      </c>
      <c r="T30" s="2"/>
      <c r="U30" s="2"/>
      <c r="V30" s="2"/>
      <c r="W30" s="2"/>
      <c r="X30" s="3"/>
      <c r="Y30" s="3"/>
      <c r="AA30" s="2">
        <v>5005</v>
      </c>
      <c r="AB30" s="2"/>
      <c r="AC30" s="2" t="s">
        <v>44</v>
      </c>
      <c r="AD30" s="2" t="s">
        <v>45</v>
      </c>
      <c r="AE30" s="2">
        <v>29</v>
      </c>
    </row>
    <row r="31" spans="1:31" ht="28.5" thickBot="1" x14ac:dyDescent="0.4">
      <c r="A31" s="1" t="s">
        <v>31</v>
      </c>
      <c r="B31" s="1" t="s">
        <v>32</v>
      </c>
      <c r="C31" s="2" t="s">
        <v>33</v>
      </c>
      <c r="D31" s="2" t="s">
        <v>52</v>
      </c>
      <c r="E31" s="2"/>
      <c r="F31" s="2" t="s">
        <v>35</v>
      </c>
      <c r="G31" s="2" t="s">
        <v>53</v>
      </c>
      <c r="H31" s="2" t="s">
        <v>37</v>
      </c>
      <c r="I31" s="2" t="s">
        <v>54</v>
      </c>
      <c r="J31" s="1" t="s">
        <v>40</v>
      </c>
      <c r="K31" s="1" t="s">
        <v>40</v>
      </c>
      <c r="L31" s="1"/>
      <c r="M31" s="2" t="s">
        <v>41</v>
      </c>
      <c r="N31" s="2" t="s">
        <v>46</v>
      </c>
      <c r="O31" s="2" t="s">
        <v>43</v>
      </c>
      <c r="P31" s="2">
        <v>10</v>
      </c>
      <c r="Q31" s="2">
        <v>7</v>
      </c>
      <c r="R31" s="3">
        <f t="shared" si="0"/>
        <v>-0.3</v>
      </c>
      <c r="S31" s="2">
        <f t="shared" si="1"/>
        <v>-3</v>
      </c>
      <c r="T31" s="2"/>
      <c r="U31" s="2"/>
      <c r="V31" s="2"/>
      <c r="W31" s="2"/>
      <c r="X31" s="3"/>
      <c r="Y31" s="3"/>
      <c r="AA31" s="2">
        <v>5005</v>
      </c>
      <c r="AB31" s="2"/>
      <c r="AC31" s="2" t="s">
        <v>44</v>
      </c>
      <c r="AD31" s="2" t="s">
        <v>45</v>
      </c>
      <c r="AE31" s="2">
        <v>30</v>
      </c>
    </row>
    <row r="32" spans="1:31" ht="28.5" thickBot="1" x14ac:dyDescent="0.4">
      <c r="A32" s="1" t="s">
        <v>31</v>
      </c>
      <c r="B32" s="1" t="s">
        <v>32</v>
      </c>
      <c r="C32" s="2" t="s">
        <v>33</v>
      </c>
      <c r="D32" s="2" t="s">
        <v>52</v>
      </c>
      <c r="E32" s="2"/>
      <c r="F32" s="2" t="s">
        <v>35</v>
      </c>
      <c r="G32" s="2" t="s">
        <v>53</v>
      </c>
      <c r="H32" s="2" t="s">
        <v>37</v>
      </c>
      <c r="I32" s="2" t="s">
        <v>54</v>
      </c>
      <c r="J32" s="1" t="s">
        <v>40</v>
      </c>
      <c r="K32" s="1" t="s">
        <v>40</v>
      </c>
      <c r="L32" s="1"/>
      <c r="M32" s="2" t="s">
        <v>41</v>
      </c>
      <c r="N32" s="2" t="s">
        <v>47</v>
      </c>
      <c r="O32" s="2" t="s">
        <v>43</v>
      </c>
      <c r="P32" s="2">
        <v>45</v>
      </c>
      <c r="Q32" s="2">
        <v>70</v>
      </c>
      <c r="R32" s="3">
        <f t="shared" si="0"/>
        <v>0.55555555555555558</v>
      </c>
      <c r="S32" s="2">
        <f t="shared" si="1"/>
        <v>25</v>
      </c>
      <c r="T32" s="2"/>
      <c r="U32" s="2"/>
      <c r="V32" s="2"/>
      <c r="W32" s="2"/>
      <c r="X32" s="3"/>
      <c r="Y32" s="3"/>
      <c r="AA32" s="2">
        <v>5005</v>
      </c>
      <c r="AB32" s="2"/>
      <c r="AC32" s="2" t="s">
        <v>44</v>
      </c>
      <c r="AD32" s="2" t="s">
        <v>45</v>
      </c>
      <c r="AE32" s="2">
        <v>31</v>
      </c>
    </row>
    <row r="33" spans="1:31" ht="28.5" thickBot="1" x14ac:dyDescent="0.4">
      <c r="A33" s="1" t="s">
        <v>31</v>
      </c>
      <c r="B33" s="1" t="s">
        <v>32</v>
      </c>
      <c r="C33" s="2" t="s">
        <v>33</v>
      </c>
      <c r="D33" s="2" t="s">
        <v>52</v>
      </c>
      <c r="E33" s="2"/>
      <c r="F33" s="2" t="s">
        <v>35</v>
      </c>
      <c r="G33" s="2" t="s">
        <v>53</v>
      </c>
      <c r="H33" s="2" t="s">
        <v>37</v>
      </c>
      <c r="I33" s="2" t="s">
        <v>54</v>
      </c>
      <c r="J33" s="1" t="s">
        <v>40</v>
      </c>
      <c r="K33" s="1" t="s">
        <v>40</v>
      </c>
      <c r="L33" s="1"/>
      <c r="M33" s="2" t="s">
        <v>41</v>
      </c>
      <c r="N33" s="2" t="s">
        <v>48</v>
      </c>
      <c r="O33" s="2" t="s">
        <v>49</v>
      </c>
      <c r="P33" s="4">
        <f>(P32/P30)</f>
        <v>0.5</v>
      </c>
      <c r="Q33" s="4">
        <f>(Q32/Q30)</f>
        <v>0.46666666666666667</v>
      </c>
      <c r="R33" s="3">
        <f t="shared" si="0"/>
        <v>-6.6666666666666652E-2</v>
      </c>
      <c r="S33" s="4">
        <f t="shared" si="1"/>
        <v>-3.3333333333333326E-2</v>
      </c>
      <c r="T33" s="2"/>
      <c r="U33" s="2"/>
      <c r="V33" s="2"/>
      <c r="W33" s="2"/>
      <c r="X33" s="3"/>
      <c r="Y33" s="3"/>
      <c r="AA33" s="2">
        <v>5005</v>
      </c>
      <c r="AB33" s="2"/>
      <c r="AC33" s="2" t="s">
        <v>44</v>
      </c>
      <c r="AD33" s="2" t="s">
        <v>45</v>
      </c>
      <c r="AE33" s="2">
        <v>32</v>
      </c>
    </row>
    <row r="34" spans="1:31" x14ac:dyDescent="0.35">
      <c r="A34" s="5"/>
      <c r="B34" s="5"/>
      <c r="C34" s="6"/>
      <c r="D34" s="6"/>
      <c r="E34" s="6"/>
      <c r="F34" s="6"/>
      <c r="G34" s="6"/>
      <c r="H34" s="6"/>
      <c r="I34" s="6"/>
      <c r="J34" s="5"/>
      <c r="K34" s="5"/>
      <c r="L34" s="5"/>
      <c r="M34" s="6"/>
      <c r="N34" s="6"/>
      <c r="O34" s="6"/>
      <c r="P34" s="6">
        <f t="shared" ref="P34" si="2">SUBTOTAL(101,P2:P33)</f>
        <v>27.148567708333331</v>
      </c>
      <c r="Q34" s="6">
        <f>SUBTOTAL(101,Table1[Current Data])</f>
        <v>38.639811620670997</v>
      </c>
      <c r="R34" s="7"/>
      <c r="S34" s="6"/>
      <c r="T34" s="6"/>
      <c r="U34" s="6"/>
      <c r="V34" s="6"/>
      <c r="W34" s="6"/>
      <c r="X34" s="7"/>
      <c r="Y34" s="7"/>
      <c r="AA34" s="6"/>
      <c r="AB34" s="6"/>
      <c r="AC34" s="6"/>
      <c r="AD34" s="6"/>
      <c r="AE34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soni</dc:creator>
  <cp:lastModifiedBy>Abhinay Singh</cp:lastModifiedBy>
  <dcterms:created xsi:type="dcterms:W3CDTF">2025-12-01T04:59:46Z</dcterms:created>
  <dcterms:modified xsi:type="dcterms:W3CDTF">2026-02-10T11:21:28Z</dcterms:modified>
</cp:coreProperties>
</file>